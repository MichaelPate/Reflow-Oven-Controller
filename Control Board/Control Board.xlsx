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Board" sheetId="1" state="visible" r:id="rId3"/>
  </sheets>
  <definedNames>
    <definedName function="false" hidden="true" localSheetId="0" name="_xlnm._FilterDatabase" vbProcedure="false">'Control Board'!$A$1:$K$36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<sst xmlns="http://schemas.openxmlformats.org/spreadsheetml/2006/main" count="176" uniqueCount="123">
  <si>
    <t xml:space="preserve">Id</t>
  </si>
  <si>
    <t xml:space="preserve">Designator</t>
  </si>
  <si>
    <t xml:space="preserve">Footprint</t>
  </si>
  <si>
    <t xml:space="preserve">QTY</t>
  </si>
  <si>
    <t xml:space="preserve">Designation</t>
  </si>
  <si>
    <t xml:space="preserve">Supplier</t>
  </si>
  <si>
    <t xml:space="preserve">Mfg PN</t>
  </si>
  <si>
    <t xml:space="preserve">Order QTY</t>
  </si>
  <si>
    <t xml:space="preserve">Ext. Price</t>
  </si>
  <si>
    <t xml:space="preserve">Unit Price</t>
  </si>
  <si>
    <t xml:space="preserve">Price/PCBA</t>
  </si>
  <si>
    <t xml:space="preserve">C13</t>
  </si>
  <si>
    <t xml:space="preserve">CP_Elec_4x5.4</t>
  </si>
  <si>
    <t xml:space="preserve">4u7</t>
  </si>
  <si>
    <t xml:space="preserve">DigiKey</t>
  </si>
  <si>
    <t xml:space="preserve">10SVP4R7M</t>
  </si>
  <si>
    <t xml:space="preserve">U3</t>
  </si>
  <si>
    <t xml:space="preserve">SSOP-28_5.3x10.2mm_P0.65mm</t>
  </si>
  <si>
    <t xml:space="preserve">FT232RL</t>
  </si>
  <si>
    <t xml:space="preserve">LCSC</t>
  </si>
  <si>
    <t xml:space="preserve">FT232RL-REEL</t>
  </si>
  <si>
    <t xml:space="preserve">BZ1</t>
  </si>
  <si>
    <t xml:space="preserve">Buzzer_12x9.5RM7.6</t>
  </si>
  <si>
    <t xml:space="preserve">Buzzer</t>
  </si>
  <si>
    <t xml:space="preserve">Amazon</t>
  </si>
  <si>
    <t xml:space="preserve">CYT1008</t>
  </si>
  <si>
    <t xml:space="preserve">U5</t>
  </si>
  <si>
    <t xml:space="preserve">TQFP-32_7x7mm_P0.8mm</t>
  </si>
  <si>
    <t xml:space="preserve">ATmega328PB-A</t>
  </si>
  <si>
    <t xml:space="preserve">ATMEGA328PB-AU</t>
  </si>
  <si>
    <t xml:space="preserve">J4</t>
  </si>
  <si>
    <t xml:space="preserve">JST_XH_B8B-XH-A_1x08_P2.50mm_Vertical</t>
  </si>
  <si>
    <t xml:space="preserve">Conn_01x08</t>
  </si>
  <si>
    <t xml:space="preserve">B8B-XH-A(LF)(SN)</t>
  </si>
  <si>
    <t xml:space="preserve">J6</t>
  </si>
  <si>
    <t xml:space="preserve">PinHeader_2x03_P2.54mm_Vertical</t>
  </si>
  <si>
    <t xml:space="preserve">Conn_02x03_Counter_Clockwise</t>
  </si>
  <si>
    <t xml:space="preserve">P125-1140A0BS116A1</t>
  </si>
  <si>
    <t xml:space="preserve">J3</t>
  </si>
  <si>
    <t xml:space="preserve">JST_XH_B5B-XH-A_1x05_P2.50mm_Vertical</t>
  </si>
  <si>
    <t xml:space="preserve">Conn_01x05</t>
  </si>
  <si>
    <t xml:space="preserve">B5B-XH-A(LF)(SN)</t>
  </si>
  <si>
    <t xml:space="preserve">Y2</t>
  </si>
  <si>
    <t xml:space="preserve">Crystal_SMD_3225-4Pin_3.2x2.5mm</t>
  </si>
  <si>
    <t xml:space="preserve">16MHz</t>
  </si>
  <si>
    <t xml:space="preserve">CF4016M00020001</t>
  </si>
  <si>
    <t xml:space="preserve">U1</t>
  </si>
  <si>
    <t xml:space="preserve">TO-252-3_TabPin2</t>
  </si>
  <si>
    <t xml:space="preserve">L7805</t>
  </si>
  <si>
    <t xml:space="preserve">BA7805FP-E2</t>
  </si>
  <si>
    <t xml:space="preserve">J7,J5</t>
  </si>
  <si>
    <t xml:space="preserve">JST_PH_B4B-PH-K_1x04_P2.00mm_Vertical</t>
  </si>
  <si>
    <t xml:space="preserve">Conn_01x04</t>
  </si>
  <si>
    <t xml:space="preserve">B4B-PH-K-S(LF)(SN)</t>
  </si>
  <si>
    <t xml:space="preserve">J1,J8</t>
  </si>
  <si>
    <t xml:space="preserve">TerminalBlock_Phoenix_MKDS-1,5-2-5.08_1x02_P5.08mm_Horizontal</t>
  </si>
  <si>
    <t xml:space="preserve">Conn_01x02</t>
  </si>
  <si>
    <t xml:space="preserve">JL500-50802G01</t>
  </si>
  <si>
    <t xml:space="preserve">SW1</t>
  </si>
  <si>
    <t xml:space="preserve">SW_Tactile_SPST_Angled_PTS645Vx58-2LFS</t>
  </si>
  <si>
    <t xml:space="preserve">SW_Push</t>
  </si>
  <si>
    <t xml:space="preserve">PTS645VL83-2 LFS</t>
  </si>
  <si>
    <t xml:space="preserve">F2</t>
  </si>
  <si>
    <t xml:space="preserve">Fuse_0603_1608Metric_Pad1.05x0.95mm_HandSolder</t>
  </si>
  <si>
    <t xml:space="preserve">0603L020/6XR</t>
  </si>
  <si>
    <t xml:space="preserve">D6,D7</t>
  </si>
  <si>
    <t xml:space="preserve">D_SOD-123</t>
  </si>
  <si>
    <t xml:space="preserve">MBR0520T1G-JSM</t>
  </si>
  <si>
    <t xml:space="preserve">U2</t>
  </si>
  <si>
    <t xml:space="preserve">SOT-23-6</t>
  </si>
  <si>
    <t xml:space="preserve">USBLC6-2SC6</t>
  </si>
  <si>
    <t xml:space="preserve">J2</t>
  </si>
  <si>
    <t xml:space="preserve">USB_C_Receptacle_HRO_TYPE-C-31-M-12</t>
  </si>
  <si>
    <t xml:space="preserve">USB_C_Receptacle_USB2.0_14P</t>
  </si>
  <si>
    <t xml:space="preserve">TYPE-C-31-M-12</t>
  </si>
  <si>
    <t xml:space="preserve">Q4,Q3</t>
  </si>
  <si>
    <t xml:space="preserve">SOT-23</t>
  </si>
  <si>
    <t xml:space="preserve">AO3414-HXY</t>
  </si>
  <si>
    <t xml:space="preserve">C16</t>
  </si>
  <si>
    <t xml:space="preserve">C_0402_1005Metric</t>
  </si>
  <si>
    <t xml:space="preserve">220n</t>
  </si>
  <si>
    <t xml:space="preserve">CGA0402X5R224K100GT</t>
  </si>
  <si>
    <t xml:space="preserve">FB2</t>
  </si>
  <si>
    <t xml:space="preserve">L_0402_1005Metric</t>
  </si>
  <si>
    <t xml:space="preserve">33R100MHz</t>
  </si>
  <si>
    <t xml:space="preserve">CBG100505U330T</t>
  </si>
  <si>
    <t xml:space="preserve">C12</t>
  </si>
  <si>
    <t xml:space="preserve">C_0603_1608Metric</t>
  </si>
  <si>
    <t xml:space="preserve">1u</t>
  </si>
  <si>
    <t xml:space="preserve">CGA0603X5R105K160JT</t>
  </si>
  <si>
    <t xml:space="preserve">C9,C8</t>
  </si>
  <si>
    <t xml:space="preserve">22p</t>
  </si>
  <si>
    <t xml:space="preserve">CGA0402C0G220J500GT</t>
  </si>
  <si>
    <t xml:space="preserve">R16,R21,R14,R20,R18,R17,R6,R22</t>
  </si>
  <si>
    <t xml:space="preserve">R_0402_1005Metric</t>
  </si>
  <si>
    <t xml:space="preserve">10k</t>
  </si>
  <si>
    <t xml:space="preserve">SCR0402J10K</t>
  </si>
  <si>
    <t xml:space="preserve">R5,R19,R4,R15</t>
  </si>
  <si>
    <t xml:space="preserve">1k</t>
  </si>
  <si>
    <t xml:space="preserve">SCR0402J1K</t>
  </si>
  <si>
    <t xml:space="preserve">R8</t>
  </si>
  <si>
    <t xml:space="preserve">SCR0402J0R</t>
  </si>
  <si>
    <t xml:space="preserve">R1,R2</t>
  </si>
  <si>
    <t xml:space="preserve">5k1</t>
  </si>
  <si>
    <t xml:space="preserve">RTT02512JTH</t>
  </si>
  <si>
    <t xml:space="preserve">R13,R9</t>
  </si>
  <si>
    <t xml:space="preserve">RTT02471JTH</t>
  </si>
  <si>
    <t xml:space="preserve">R7</t>
  </si>
  <si>
    <t xml:space="preserve">SCR0402F330R</t>
  </si>
  <si>
    <t xml:space="preserve">C15,C1,C7,C2,C5,C6</t>
  </si>
  <si>
    <t xml:space="preserve">100n</t>
  </si>
  <si>
    <t xml:space="preserve">CGA0402X7R104K160GT</t>
  </si>
  <si>
    <t xml:space="preserve">C4</t>
  </si>
  <si>
    <t xml:space="preserve">10n</t>
  </si>
  <si>
    <t xml:space="preserve">CGA0402X7R103M500GT</t>
  </si>
  <si>
    <t xml:space="preserve">D8,D2,D3</t>
  </si>
  <si>
    <t xml:space="preserve">LED_0603_1608Metric</t>
  </si>
  <si>
    <t xml:space="preserve">RED</t>
  </si>
  <si>
    <t xml:space="preserve">XL-1608SURC-06</t>
  </si>
  <si>
    <t xml:space="preserve">REF**</t>
  </si>
  <si>
    <t xml:space="preserve">MTP Logo 5mm Low Detail Copper</t>
  </si>
  <si>
    <t xml:space="preserve">Not a real part</t>
  </si>
  <si>
    <t xml:space="preserve">michaelpate.net QR Code 5mm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</si>
</sst>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[$$-409]#,##0.0000;[RED]\-[$$-409]#,##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31.5"/>
    <col collapsed="false" customWidth="true" hidden="false" outlineLevel="0" max="3" min="3" style="0" width="59.85"/>
    <col collapsed="false" customWidth="true" hidden="false" outlineLevel="0" max="4" min="4" style="0" width="8.39"/>
    <col collapsed="false" customWidth="true" hidden="false" outlineLevel="0" max="5" min="5" style="0" width="30.53"/>
    <col collapsed="false" customWidth="true" hidden="false" outlineLevel="0" max="6" min="6" style="0" width="9.24"/>
    <col collapsed="false" customWidth="true" hidden="false" outlineLevel="0" max="7" min="7" style="0" width="23.23"/>
    <col collapsed="false" customWidth="true" hidden="false" outlineLevel="0" max="8" min="8" style="0" width="8.03"/>
    <col collapsed="false" customWidth="false" hidden="false" outlineLevel="0" max="9" min="9" style="1" width="11.53"/>
    <col collapsed="false" customWidth="false" hidden="false" outlineLevel="0" max="10" min="10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customFormat="false" ht="12.8" hidden="false" customHeight="false" outlineLevel="0" collapsed="false">
      <c r="A2" s="6" t="n">
        <v>10</v>
      </c>
      <c r="B2" s="6" t="s">
        <v>11</v>
      </c>
      <c r="C2" s="6" t="s">
        <v>12</v>
      </c>
      <c r="D2" s="6" t="n">
        <v>1</v>
      </c>
      <c r="E2" s="7" t="s">
        <v>13</v>
      </c>
      <c r="F2" s="6" t="s">
        <v>14</v>
      </c>
      <c r="G2" s="6" t="s">
        <v>15</v>
      </c>
      <c r="H2" s="6" t="n">
        <v>5</v>
      </c>
      <c r="I2" s="8" t="n">
        <v>3.9</v>
      </c>
      <c r="J2" s="9" t="n">
        <f aca="false">I2/H2</f>
        <v>0.78</v>
      </c>
      <c r="K2" s="2" t="n">
        <f aca="false">J2*D2</f>
        <v>0.78</v>
      </c>
    </row>
    <row r="3" customFormat="false" ht="12.8" hidden="false" customHeight="false" outlineLevel="0" collapsed="false">
      <c r="A3" s="0" t="n">
        <v>13</v>
      </c>
      <c r="B3" s="0" t="s">
        <v>16</v>
      </c>
      <c r="C3" s="0" t="s">
        <v>17</v>
      </c>
      <c r="D3" s="0" t="n">
        <v>1</v>
      </c>
      <c r="E3" s="10" t="s">
        <v>18</v>
      </c>
      <c r="F3" s="0" t="s">
        <v>19</v>
      </c>
      <c r="G3" s="0" t="s">
        <v>20</v>
      </c>
      <c r="H3" s="0" t="n">
        <v>6</v>
      </c>
      <c r="I3" s="1" t="n">
        <v>24.65</v>
      </c>
      <c r="J3" s="2" t="n">
        <f aca="false">I3/H3</f>
        <v>4.10833333333333</v>
      </c>
      <c r="K3" s="2" t="n">
        <f aca="false">J3*D3</f>
        <v>4.10833333333333</v>
      </c>
    </row>
    <row r="4" customFormat="false" ht="12.8" hidden="false" customHeight="false" outlineLevel="0" collapsed="false">
      <c r="A4" s="0" t="n">
        <v>12</v>
      </c>
      <c r="B4" s="0" t="s">
        <v>21</v>
      </c>
      <c r="C4" s="0" t="s">
        <v>22</v>
      </c>
      <c r="D4" s="0" t="n">
        <v>1</v>
      </c>
      <c r="E4" s="10" t="s">
        <v>23</v>
      </c>
      <c r="F4" s="0" t="s">
        <v>24</v>
      </c>
      <c r="G4" s="0" t="s">
        <v>25</v>
      </c>
      <c r="H4" s="0" t="n">
        <v>10</v>
      </c>
      <c r="I4" s="1" t="n">
        <v>5.99</v>
      </c>
      <c r="J4" s="2" t="n">
        <f aca="false">I4/H4</f>
        <v>0.599</v>
      </c>
      <c r="K4" s="2" t="n">
        <f aca="false">J4*D4</f>
        <v>0.599</v>
      </c>
    </row>
    <row r="5" customFormat="false" ht="12.8" hidden="false" customHeight="false" outlineLevel="0" collapsed="false">
      <c r="A5" s="0" t="n">
        <v>22</v>
      </c>
      <c r="B5" s="0" t="s">
        <v>26</v>
      </c>
      <c r="C5" s="0" t="s">
        <v>27</v>
      </c>
      <c r="D5" s="0" t="n">
        <v>1</v>
      </c>
      <c r="E5" s="10" t="s">
        <v>28</v>
      </c>
      <c r="F5" s="0" t="s">
        <v>19</v>
      </c>
      <c r="G5" s="0" t="s">
        <v>29</v>
      </c>
      <c r="H5" s="0" t="n">
        <v>10</v>
      </c>
      <c r="I5" s="1" t="n">
        <v>17.5</v>
      </c>
      <c r="J5" s="2" t="n">
        <f aca="false">I5/H5</f>
        <v>1.75</v>
      </c>
      <c r="K5" s="2" t="n">
        <f aca="false">J5*D5</f>
        <v>1.75</v>
      </c>
    </row>
    <row r="6" customFormat="false" ht="12.8" hidden="false" customHeight="false" outlineLevel="0" collapsed="false">
      <c r="A6" s="6" t="n">
        <v>21</v>
      </c>
      <c r="B6" s="6" t="s">
        <v>30</v>
      </c>
      <c r="C6" s="6" t="s">
        <v>31</v>
      </c>
      <c r="D6" s="6" t="n">
        <v>1</v>
      </c>
      <c r="E6" s="7" t="s">
        <v>32</v>
      </c>
      <c r="F6" s="6" t="s">
        <v>19</v>
      </c>
      <c r="G6" s="6" t="s">
        <v>33</v>
      </c>
      <c r="H6" s="6" t="n">
        <v>20</v>
      </c>
      <c r="I6" s="8" t="n">
        <v>1.98</v>
      </c>
      <c r="J6" s="9" t="n">
        <f aca="false">I6/H6</f>
        <v>0.099</v>
      </c>
      <c r="K6" s="2" t="n">
        <f aca="false">J6*D6</f>
        <v>0.099</v>
      </c>
    </row>
    <row r="7" customFormat="false" ht="12.8" hidden="false" customHeight="false" outlineLevel="0" collapsed="false">
      <c r="A7" s="6" t="n">
        <v>19</v>
      </c>
      <c r="B7" s="6" t="s">
        <v>34</v>
      </c>
      <c r="C7" s="6" t="s">
        <v>35</v>
      </c>
      <c r="D7" s="6" t="n">
        <v>1</v>
      </c>
      <c r="E7" s="7" t="s">
        <v>36</v>
      </c>
      <c r="F7" s="6" t="s">
        <v>19</v>
      </c>
      <c r="G7" s="6" t="s">
        <v>37</v>
      </c>
      <c r="H7" s="6" t="n">
        <v>25</v>
      </c>
      <c r="I7" s="8" t="n">
        <v>5.32</v>
      </c>
      <c r="J7" s="9" t="n">
        <f aca="false">I7/H7</f>
        <v>0.2128</v>
      </c>
      <c r="K7" s="2" t="n">
        <f aca="false">J7*D7</f>
        <v>0.2128</v>
      </c>
    </row>
    <row r="8" customFormat="false" ht="12.8" hidden="false" customHeight="false" outlineLevel="0" collapsed="false">
      <c r="A8" s="6" t="n">
        <v>20</v>
      </c>
      <c r="B8" s="6" t="s">
        <v>38</v>
      </c>
      <c r="C8" s="6" t="s">
        <v>39</v>
      </c>
      <c r="D8" s="6" t="n">
        <v>1</v>
      </c>
      <c r="E8" s="7" t="s">
        <v>40</v>
      </c>
      <c r="F8" s="6" t="s">
        <v>19</v>
      </c>
      <c r="G8" s="6" t="s">
        <v>41</v>
      </c>
      <c r="H8" s="6" t="n">
        <v>35</v>
      </c>
      <c r="I8" s="8" t="n">
        <v>2.52</v>
      </c>
      <c r="J8" s="9" t="n">
        <f aca="false">I8/H8</f>
        <v>0.072</v>
      </c>
      <c r="K8" s="2" t="n">
        <f aca="false">J8*D8</f>
        <v>0.072</v>
      </c>
    </row>
    <row r="9" customFormat="false" ht="12.8" hidden="false" customHeight="false" outlineLevel="0" collapsed="false">
      <c r="A9" s="0" t="n">
        <v>28</v>
      </c>
      <c r="B9" s="0" t="s">
        <v>42</v>
      </c>
      <c r="C9" s="0" t="s">
        <v>43</v>
      </c>
      <c r="D9" s="0" t="n">
        <v>1</v>
      </c>
      <c r="E9" s="10" t="s">
        <v>44</v>
      </c>
      <c r="F9" s="0" t="s">
        <v>19</v>
      </c>
      <c r="G9" s="0" t="s">
        <v>45</v>
      </c>
      <c r="H9" s="0" t="n">
        <v>40</v>
      </c>
      <c r="I9" s="1" t="n">
        <v>2.19</v>
      </c>
      <c r="J9" s="2" t="n">
        <f aca="false">I9/H9</f>
        <v>0.05475</v>
      </c>
      <c r="K9" s="2" t="n">
        <f aca="false">J9*D9</f>
        <v>0.05475</v>
      </c>
    </row>
    <row r="10" customFormat="false" ht="12.8" hidden="false" customHeight="false" outlineLevel="0" collapsed="false">
      <c r="A10" s="0" t="n">
        <v>8</v>
      </c>
      <c r="B10" s="0" t="s">
        <v>46</v>
      </c>
      <c r="C10" s="0" t="s">
        <v>47</v>
      </c>
      <c r="D10" s="0" t="n">
        <v>1</v>
      </c>
      <c r="E10" s="10" t="s">
        <v>48</v>
      </c>
      <c r="F10" s="0" t="s">
        <v>19</v>
      </c>
      <c r="G10" s="0" t="s">
        <v>49</v>
      </c>
      <c r="H10" s="0" t="n">
        <v>40</v>
      </c>
      <c r="I10" s="1" t="n">
        <v>13.66</v>
      </c>
      <c r="J10" s="2" t="n">
        <f aca="false">I10/H10</f>
        <v>0.3415</v>
      </c>
      <c r="K10" s="2" t="n">
        <f aca="false">J10*D10</f>
        <v>0.3415</v>
      </c>
    </row>
    <row r="11" customFormat="false" ht="12.8" hidden="false" customHeight="false" outlineLevel="0" collapsed="false">
      <c r="A11" s="6" t="n">
        <v>3</v>
      </c>
      <c r="B11" s="6" t="s">
        <v>50</v>
      </c>
      <c r="C11" s="6" t="s">
        <v>51</v>
      </c>
      <c r="D11" s="6" t="n">
        <v>2</v>
      </c>
      <c r="E11" s="7" t="s">
        <v>52</v>
      </c>
      <c r="F11" s="6" t="s">
        <v>19</v>
      </c>
      <c r="G11" s="6" t="s">
        <v>53</v>
      </c>
      <c r="H11" s="6" t="n">
        <v>50</v>
      </c>
      <c r="I11" s="8" t="n">
        <v>1.99</v>
      </c>
      <c r="J11" s="9" t="n">
        <f aca="false">I11/H11</f>
        <v>0.0398</v>
      </c>
      <c r="K11" s="2" t="n">
        <f aca="false">J11*D11</f>
        <v>0.0796</v>
      </c>
    </row>
    <row r="12" customFormat="false" ht="12.8" hidden="false" customHeight="false" outlineLevel="0" collapsed="false">
      <c r="A12" s="6" t="n">
        <v>2</v>
      </c>
      <c r="B12" s="6" t="s">
        <v>54</v>
      </c>
      <c r="C12" s="6" t="s">
        <v>55</v>
      </c>
      <c r="D12" s="6" t="n">
        <v>2</v>
      </c>
      <c r="E12" s="7" t="s">
        <v>56</v>
      </c>
      <c r="F12" s="6" t="s">
        <v>19</v>
      </c>
      <c r="G12" s="6" t="s">
        <v>57</v>
      </c>
      <c r="H12" s="6" t="n">
        <v>50</v>
      </c>
      <c r="I12" s="8" t="n">
        <v>5.83</v>
      </c>
      <c r="J12" s="9" t="n">
        <f aca="false">I12/H12</f>
        <v>0.1166</v>
      </c>
      <c r="K12" s="2" t="n">
        <f aca="false">J12*D12</f>
        <v>0.2332</v>
      </c>
    </row>
    <row r="13" customFormat="false" ht="12.8" hidden="false" customHeight="false" outlineLevel="0" collapsed="false">
      <c r="A13" s="0" t="n">
        <v>17</v>
      </c>
      <c r="B13" s="0" t="s">
        <v>58</v>
      </c>
      <c r="C13" s="0" t="s">
        <v>59</v>
      </c>
      <c r="D13" s="0" t="n">
        <v>1</v>
      </c>
      <c r="E13" s="10" t="s">
        <v>60</v>
      </c>
      <c r="F13" s="0" t="s">
        <v>19</v>
      </c>
      <c r="G13" s="0" t="s">
        <v>61</v>
      </c>
      <c r="H13" s="0" t="n">
        <v>55</v>
      </c>
      <c r="I13" s="1" t="n">
        <v>3.82</v>
      </c>
      <c r="J13" s="2" t="n">
        <f aca="false">I13/H13</f>
        <v>0.0694545454545455</v>
      </c>
      <c r="K13" s="2" t="n">
        <f aca="false">J13*D13</f>
        <v>0.0694545454545455</v>
      </c>
    </row>
    <row r="14" customFormat="false" ht="12.8" hidden="false" customHeight="false" outlineLevel="0" collapsed="false">
      <c r="A14" s="6" t="n">
        <v>16</v>
      </c>
      <c r="B14" s="6" t="s">
        <v>62</v>
      </c>
      <c r="C14" s="6" t="s">
        <v>63</v>
      </c>
      <c r="D14" s="6" t="n">
        <v>1</v>
      </c>
      <c r="E14" s="7" t="s">
        <v>64</v>
      </c>
      <c r="F14" s="6" t="s">
        <v>19</v>
      </c>
      <c r="G14" s="6" t="s">
        <v>64</v>
      </c>
      <c r="H14" s="6" t="n">
        <v>60</v>
      </c>
      <c r="I14" s="8" t="n">
        <v>2.63</v>
      </c>
      <c r="J14" s="9" t="n">
        <f aca="false">I14/H14</f>
        <v>0.0438333333333333</v>
      </c>
      <c r="K14" s="2" t="n">
        <f aca="false">J14*D14</f>
        <v>0.0438333333333333</v>
      </c>
    </row>
    <row r="15" customFormat="false" ht="12.8" hidden="false" customHeight="false" outlineLevel="0" collapsed="false">
      <c r="A15" s="6" t="n">
        <v>29</v>
      </c>
      <c r="B15" s="6" t="s">
        <v>65</v>
      </c>
      <c r="C15" s="6" t="s">
        <v>66</v>
      </c>
      <c r="D15" s="6" t="n">
        <v>2</v>
      </c>
      <c r="E15" s="7" t="s">
        <v>67</v>
      </c>
      <c r="F15" s="6" t="s">
        <v>19</v>
      </c>
      <c r="G15" s="6" t="s">
        <v>67</v>
      </c>
      <c r="H15" s="6" t="n">
        <v>80</v>
      </c>
      <c r="I15" s="8" t="n">
        <v>2.47</v>
      </c>
      <c r="J15" s="9" t="n">
        <f aca="false">I15/H15</f>
        <v>0.030875</v>
      </c>
      <c r="K15" s="2" t="n">
        <f aca="false">J15*D15</f>
        <v>0.06175</v>
      </c>
    </row>
    <row r="16" customFormat="false" ht="12.8" hidden="false" customHeight="false" outlineLevel="0" collapsed="false">
      <c r="A16" s="0" t="n">
        <v>25</v>
      </c>
      <c r="B16" s="0" t="s">
        <v>68</v>
      </c>
      <c r="C16" s="0" t="s">
        <v>69</v>
      </c>
      <c r="D16" s="0" t="n">
        <v>1</v>
      </c>
      <c r="E16" s="10" t="s">
        <v>70</v>
      </c>
      <c r="F16" s="0" t="s">
        <v>19</v>
      </c>
      <c r="G16" s="0" t="s">
        <v>70</v>
      </c>
      <c r="H16" s="0" t="n">
        <v>100</v>
      </c>
      <c r="I16" s="1" t="n">
        <v>1.65</v>
      </c>
      <c r="J16" s="2" t="n">
        <f aca="false">I16/H16</f>
        <v>0.0165</v>
      </c>
      <c r="K16" s="2" t="n">
        <f aca="false">J16*D16</f>
        <v>0.0165</v>
      </c>
    </row>
    <row r="17" customFormat="false" ht="12.8" hidden="false" customHeight="false" outlineLevel="0" collapsed="false">
      <c r="A17" s="6" t="n">
        <v>7</v>
      </c>
      <c r="B17" s="6" t="s">
        <v>71</v>
      </c>
      <c r="C17" s="6" t="s">
        <v>72</v>
      </c>
      <c r="D17" s="6" t="n">
        <v>1</v>
      </c>
      <c r="E17" s="7" t="s">
        <v>73</v>
      </c>
      <c r="F17" s="6" t="s">
        <v>19</v>
      </c>
      <c r="G17" s="6" t="s">
        <v>74</v>
      </c>
      <c r="H17" s="6" t="n">
        <v>100</v>
      </c>
      <c r="I17" s="8" t="n">
        <v>13.67</v>
      </c>
      <c r="J17" s="9" t="n">
        <f aca="false">I17/H17</f>
        <v>0.1367</v>
      </c>
      <c r="K17" s="2" t="n">
        <f aca="false">J17*D17</f>
        <v>0.1367</v>
      </c>
    </row>
    <row r="18" customFormat="false" ht="12.8" hidden="false" customHeight="false" outlineLevel="0" collapsed="false">
      <c r="A18" s="6" t="n">
        <v>5</v>
      </c>
      <c r="B18" s="6" t="s">
        <v>75</v>
      </c>
      <c r="C18" s="6" t="s">
        <v>76</v>
      </c>
      <c r="D18" s="6" t="n">
        <v>2</v>
      </c>
      <c r="E18" s="7" t="s">
        <v>77</v>
      </c>
      <c r="F18" s="6" t="s">
        <v>19</v>
      </c>
      <c r="G18" s="6" t="s">
        <v>77</v>
      </c>
      <c r="H18" s="6" t="n">
        <v>150</v>
      </c>
      <c r="I18" s="8" t="n">
        <v>2.25</v>
      </c>
      <c r="J18" s="9" t="n">
        <f aca="false">I18/H18</f>
        <v>0.015</v>
      </c>
      <c r="K18" s="2" t="n">
        <f aca="false">J18*D18</f>
        <v>0.03</v>
      </c>
    </row>
    <row r="19" customFormat="false" ht="12.8" hidden="false" customHeight="false" outlineLevel="0" collapsed="false">
      <c r="A19" s="6" t="n">
        <v>23</v>
      </c>
      <c r="B19" s="6" t="s">
        <v>78</v>
      </c>
      <c r="C19" s="6" t="s">
        <v>79</v>
      </c>
      <c r="D19" s="6" t="n">
        <v>1</v>
      </c>
      <c r="E19" s="7" t="s">
        <v>80</v>
      </c>
      <c r="F19" s="6" t="s">
        <v>19</v>
      </c>
      <c r="G19" s="6" t="s">
        <v>81</v>
      </c>
      <c r="H19" s="6" t="n">
        <v>200</v>
      </c>
      <c r="I19" s="8" t="n">
        <v>0.32</v>
      </c>
      <c r="J19" s="9" t="n">
        <f aca="false">I19/H19</f>
        <v>0.0016</v>
      </c>
      <c r="K19" s="2" t="n">
        <f aca="false">J19*D19</f>
        <v>0.0016</v>
      </c>
    </row>
    <row r="20" customFormat="false" ht="12.8" hidden="false" customHeight="false" outlineLevel="0" collapsed="false">
      <c r="A20" s="6" t="n">
        <v>26</v>
      </c>
      <c r="B20" s="6" t="s">
        <v>82</v>
      </c>
      <c r="C20" s="6" t="s">
        <v>83</v>
      </c>
      <c r="D20" s="6" t="n">
        <v>1</v>
      </c>
      <c r="E20" s="7" t="s">
        <v>84</v>
      </c>
      <c r="F20" s="6" t="s">
        <v>19</v>
      </c>
      <c r="G20" s="6" t="s">
        <v>85</v>
      </c>
      <c r="H20" s="6" t="n">
        <v>200</v>
      </c>
      <c r="I20" s="8" t="n">
        <v>0.58</v>
      </c>
      <c r="J20" s="9" t="n">
        <f aca="false">I20/H20</f>
        <v>0.0029</v>
      </c>
      <c r="K20" s="2" t="n">
        <f aca="false">J20*D20</f>
        <v>0.0029</v>
      </c>
    </row>
    <row r="21" customFormat="false" ht="12.8" hidden="false" customHeight="false" outlineLevel="0" collapsed="false">
      <c r="A21" s="0" t="n">
        <v>30</v>
      </c>
      <c r="B21" s="0" t="s">
        <v>86</v>
      </c>
      <c r="C21" s="0" t="s">
        <v>87</v>
      </c>
      <c r="D21" s="0" t="n">
        <v>1</v>
      </c>
      <c r="E21" s="10" t="s">
        <v>88</v>
      </c>
      <c r="F21" s="0" t="s">
        <v>19</v>
      </c>
      <c r="G21" s="0" t="s">
        <v>89</v>
      </c>
      <c r="H21" s="0" t="n">
        <v>200</v>
      </c>
      <c r="I21" s="1" t="n">
        <v>0.62</v>
      </c>
      <c r="J21" s="2" t="n">
        <f aca="false">I21/H21</f>
        <v>0.0031</v>
      </c>
      <c r="K21" s="2" t="n">
        <f aca="false">J21*D21</f>
        <v>0.0031</v>
      </c>
    </row>
    <row r="22" customFormat="false" ht="12.8" hidden="false" customHeight="false" outlineLevel="0" collapsed="false">
      <c r="A22" s="6" t="n">
        <v>18</v>
      </c>
      <c r="B22" s="6" t="s">
        <v>90</v>
      </c>
      <c r="C22" s="6" t="s">
        <v>79</v>
      </c>
      <c r="D22" s="6" t="n">
        <v>2</v>
      </c>
      <c r="E22" s="7" t="s">
        <v>91</v>
      </c>
      <c r="F22" s="6" t="s">
        <v>19</v>
      </c>
      <c r="G22" s="6" t="s">
        <v>92</v>
      </c>
      <c r="H22" s="6" t="n">
        <v>500</v>
      </c>
      <c r="I22" s="8" t="n">
        <v>0.45</v>
      </c>
      <c r="J22" s="9" t="n">
        <f aca="false">I22/H22</f>
        <v>0.0009</v>
      </c>
      <c r="K22" s="2" t="n">
        <f aca="false">J22*D22</f>
        <v>0.0018</v>
      </c>
    </row>
    <row r="23" customFormat="false" ht="12.8" hidden="false" customHeight="false" outlineLevel="0" collapsed="false">
      <c r="A23" s="0" t="n">
        <v>6</v>
      </c>
      <c r="B23" s="0" t="s">
        <v>93</v>
      </c>
      <c r="C23" s="0" t="s">
        <v>94</v>
      </c>
      <c r="D23" s="0" t="n">
        <v>8</v>
      </c>
      <c r="E23" s="10" t="s">
        <v>95</v>
      </c>
      <c r="F23" s="6" t="s">
        <v>19</v>
      </c>
      <c r="G23" s="0" t="s">
        <v>96</v>
      </c>
      <c r="H23" s="0" t="n">
        <v>1000</v>
      </c>
      <c r="I23" s="1" t="n">
        <v>0.3</v>
      </c>
      <c r="J23" s="2" t="n">
        <f aca="false">I23/H23</f>
        <v>0.0003</v>
      </c>
      <c r="K23" s="2" t="n">
        <f aca="false">J23*D23</f>
        <v>0.0024</v>
      </c>
    </row>
    <row r="24" customFormat="false" ht="12.8" hidden="false" customHeight="false" outlineLevel="0" collapsed="false">
      <c r="A24" s="0" t="n">
        <v>1</v>
      </c>
      <c r="B24" s="0" t="s">
        <v>97</v>
      </c>
      <c r="C24" s="0" t="s">
        <v>94</v>
      </c>
      <c r="D24" s="0" t="n">
        <v>4</v>
      </c>
      <c r="E24" s="10" t="s">
        <v>98</v>
      </c>
      <c r="F24" s="6" t="s">
        <v>19</v>
      </c>
      <c r="G24" s="0" t="s">
        <v>99</v>
      </c>
      <c r="H24" s="0" t="n">
        <v>1000</v>
      </c>
      <c r="I24" s="1" t="n">
        <v>0.3</v>
      </c>
      <c r="J24" s="2" t="n">
        <f aca="false">I24/H24</f>
        <v>0.0003</v>
      </c>
      <c r="K24" s="2" t="n">
        <f aca="false">J24*D24</f>
        <v>0.0012</v>
      </c>
    </row>
    <row r="25" customFormat="false" ht="12.8" hidden="false" customHeight="false" outlineLevel="0" collapsed="false">
      <c r="A25" s="0" t="n">
        <v>31</v>
      </c>
      <c r="B25" s="0" t="s">
        <v>100</v>
      </c>
      <c r="C25" s="0" t="s">
        <v>94</v>
      </c>
      <c r="D25" s="0" t="n">
        <v>1</v>
      </c>
      <c r="E25" s="10" t="n">
        <v>0</v>
      </c>
      <c r="F25" s="0" t="s">
        <v>19</v>
      </c>
      <c r="G25" s="0" t="s">
        <v>101</v>
      </c>
      <c r="H25" s="0" t="n">
        <v>1000</v>
      </c>
      <c r="I25" s="1" t="n">
        <v>0.3</v>
      </c>
      <c r="J25" s="2" t="n">
        <f aca="false">I25/H25</f>
        <v>0.0003</v>
      </c>
      <c r="K25" s="2" t="n">
        <f aca="false">J25*D25</f>
        <v>0.0003</v>
      </c>
    </row>
    <row r="26" customFormat="false" ht="12.8" hidden="false" customHeight="false" outlineLevel="0" collapsed="false">
      <c r="A26" s="6" t="n">
        <v>11</v>
      </c>
      <c r="B26" s="6" t="s">
        <v>102</v>
      </c>
      <c r="C26" s="6" t="s">
        <v>94</v>
      </c>
      <c r="D26" s="6" t="n">
        <v>2</v>
      </c>
      <c r="E26" s="7" t="s">
        <v>103</v>
      </c>
      <c r="F26" s="6" t="s">
        <v>19</v>
      </c>
      <c r="G26" s="6" t="s">
        <v>104</v>
      </c>
      <c r="H26" s="6" t="n">
        <v>1000</v>
      </c>
      <c r="I26" s="8" t="n">
        <v>0.4</v>
      </c>
      <c r="J26" s="9" t="n">
        <f aca="false">I26/H26</f>
        <v>0.0004</v>
      </c>
      <c r="K26" s="2" t="n">
        <f aca="false">J26*D26</f>
        <v>0.0008</v>
      </c>
    </row>
    <row r="27" customFormat="false" ht="12.8" hidden="false" customHeight="false" outlineLevel="0" collapsed="false">
      <c r="A27" s="0" t="n">
        <v>9</v>
      </c>
      <c r="B27" s="0" t="s">
        <v>105</v>
      </c>
      <c r="C27" s="0" t="s">
        <v>94</v>
      </c>
      <c r="D27" s="0" t="n">
        <v>2</v>
      </c>
      <c r="E27" s="10" t="n">
        <v>470</v>
      </c>
      <c r="F27" s="6" t="s">
        <v>19</v>
      </c>
      <c r="G27" s="0" t="s">
        <v>106</v>
      </c>
      <c r="H27" s="0" t="n">
        <v>1000</v>
      </c>
      <c r="I27" s="1" t="n">
        <v>0.4</v>
      </c>
      <c r="J27" s="2" t="n">
        <f aca="false">I27/H27</f>
        <v>0.0004</v>
      </c>
      <c r="K27" s="2" t="n">
        <f aca="false">J27*D27</f>
        <v>0.0008</v>
      </c>
    </row>
    <row r="28" customFormat="false" ht="12.8" hidden="false" customHeight="false" outlineLevel="0" collapsed="false">
      <c r="A28" s="0" t="n">
        <v>24</v>
      </c>
      <c r="B28" s="0" t="s">
        <v>107</v>
      </c>
      <c r="C28" s="0" t="s">
        <v>94</v>
      </c>
      <c r="D28" s="0" t="n">
        <v>1</v>
      </c>
      <c r="E28" s="10" t="n">
        <v>330</v>
      </c>
      <c r="F28" s="6" t="s">
        <v>19</v>
      </c>
      <c r="G28" s="0" t="s">
        <v>108</v>
      </c>
      <c r="H28" s="0" t="n">
        <v>1000</v>
      </c>
      <c r="I28" s="1" t="n">
        <v>0.4</v>
      </c>
      <c r="J28" s="2" t="n">
        <f aca="false">I28/H28</f>
        <v>0.0004</v>
      </c>
      <c r="K28" s="2" t="n">
        <f aca="false">J28*D28</f>
        <v>0.0004</v>
      </c>
    </row>
    <row r="29" customFormat="false" ht="12.8" hidden="false" customHeight="false" outlineLevel="0" collapsed="false">
      <c r="A29" s="6" t="n">
        <v>4</v>
      </c>
      <c r="B29" s="6" t="s">
        <v>109</v>
      </c>
      <c r="C29" s="6" t="s">
        <v>79</v>
      </c>
      <c r="D29" s="6" t="n">
        <v>6</v>
      </c>
      <c r="E29" s="7" t="s">
        <v>110</v>
      </c>
      <c r="F29" s="6" t="s">
        <v>19</v>
      </c>
      <c r="G29" s="6" t="s">
        <v>111</v>
      </c>
      <c r="H29" s="6" t="n">
        <v>1000</v>
      </c>
      <c r="I29" s="8" t="n">
        <v>0.6</v>
      </c>
      <c r="J29" s="9" t="n">
        <f aca="false">I29/H29</f>
        <v>0.0006</v>
      </c>
      <c r="K29" s="2" t="n">
        <f aca="false">J29*D29</f>
        <v>0.0036</v>
      </c>
    </row>
    <row r="30" customFormat="false" ht="12.8" hidden="false" customHeight="false" outlineLevel="0" collapsed="false">
      <c r="A30" s="6" t="n">
        <v>14</v>
      </c>
      <c r="B30" s="6" t="s">
        <v>112</v>
      </c>
      <c r="C30" s="6" t="s">
        <v>79</v>
      </c>
      <c r="D30" s="6" t="n">
        <v>1</v>
      </c>
      <c r="E30" s="7" t="s">
        <v>113</v>
      </c>
      <c r="F30" s="6" t="s">
        <v>19</v>
      </c>
      <c r="G30" s="6" t="s">
        <v>114</v>
      </c>
      <c r="H30" s="6" t="n">
        <v>1000</v>
      </c>
      <c r="I30" s="8" t="n">
        <v>0.7</v>
      </c>
      <c r="J30" s="9" t="n">
        <f aca="false">I30/H30</f>
        <v>0.0007</v>
      </c>
      <c r="K30" s="2" t="n">
        <f aca="false">J30*D30</f>
        <v>0.0007</v>
      </c>
    </row>
    <row r="31" customFormat="false" ht="12.8" hidden="false" customHeight="false" outlineLevel="0" collapsed="false">
      <c r="A31" s="6" t="n">
        <v>15</v>
      </c>
      <c r="B31" s="6" t="s">
        <v>115</v>
      </c>
      <c r="C31" s="6" t="s">
        <v>116</v>
      </c>
      <c r="D31" s="6" t="n">
        <v>3</v>
      </c>
      <c r="E31" s="7" t="s">
        <v>117</v>
      </c>
      <c r="F31" s="6" t="s">
        <v>19</v>
      </c>
      <c r="G31" s="6" t="s">
        <v>118</v>
      </c>
      <c r="H31" s="6" t="n">
        <v>1000</v>
      </c>
      <c r="I31" s="8" t="n">
        <v>2.4</v>
      </c>
      <c r="J31" s="9" t="n">
        <f aca="false">I31/H31</f>
        <v>0.0024</v>
      </c>
      <c r="K31" s="2" t="n">
        <f aca="false">J31*D31</f>
        <v>0.0072</v>
      </c>
    </row>
    <row r="32" customFormat="false" ht="12.8" hidden="false" customHeight="false" outlineLevel="0" collapsed="false">
      <c r="A32" s="0" t="n">
        <v>27</v>
      </c>
      <c r="B32" s="0" t="s">
        <v>119</v>
      </c>
      <c r="C32" s="0" t="s">
        <v>120</v>
      </c>
      <c r="D32" s="0" t="n">
        <v>1</v>
      </c>
      <c r="E32" s="10" t="s">
        <v>120</v>
      </c>
      <c r="F32" s="11" t="s">
        <v>121</v>
      </c>
      <c r="G32" s="11" t="s">
        <v>121</v>
      </c>
      <c r="H32" s="11" t="s">
        <v>121</v>
      </c>
      <c r="I32" s="11" t="s">
        <v>121</v>
      </c>
      <c r="J32" s="11" t="s">
        <v>121</v>
      </c>
      <c r="K32" s="11" t="s">
        <v>121</v>
      </c>
    </row>
    <row r="33" customFormat="false" ht="12.8" hidden="false" customHeight="false" outlineLevel="0" collapsed="false">
      <c r="A33" s="0" t="n">
        <v>32</v>
      </c>
      <c r="B33" s="0" t="s">
        <v>119</v>
      </c>
      <c r="C33" s="0" t="s">
        <v>122</v>
      </c>
      <c r="D33" s="0" t="n">
        <v>1</v>
      </c>
      <c r="E33" s="10" t="s">
        <v>122</v>
      </c>
      <c r="F33" s="11" t="s">
        <v>121</v>
      </c>
      <c r="G33" s="11" t="s">
        <v>121</v>
      </c>
      <c r="H33" s="11" t="s">
        <v>121</v>
      </c>
      <c r="I33" s="11" t="s">
        <v>121</v>
      </c>
      <c r="J33" s="11" t="s">
        <v>121</v>
      </c>
      <c r="K33" s="11" t="s">
        <v>121</v>
      </c>
    </row>
    <row r="36" customFormat="false" ht="12.8" hidden="false" customHeight="false" outlineLevel="0" collapsed="false">
      <c r="I36" s="1" t="n">
        <f aca="false">SUM(I2:I33)</f>
        <v>119.79</v>
      </c>
      <c r="K36" s="2" t="n">
        <f aca="false">SUM(K4:K33)</f>
        <v>3.82688787878788</v>
      </c>
    </row>
  </sheetData>
  <autoFilter ref="A1:K36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2025-02-27T06:34:23Z</dcterms:modified>
  <cp:revision>9</cp:revision>
  <dc:subject/>
  <dc:title/>
</cp:coreProperties>
</file>